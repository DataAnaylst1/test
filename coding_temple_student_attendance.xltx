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nvestmentguy/Documents/coding_temple/week1/day1/"/>
    </mc:Choice>
  </mc:AlternateContent>
  <xr:revisionPtr revIDLastSave="0" documentId="8_{71BDE690-3B37-4E40-B2CC-5F861BD029D8}" xr6:coauthVersionLast="47" xr6:coauthVersionMax="47" xr10:uidLastSave="{00000000-0000-0000-0000-000000000000}"/>
  <bookViews>
    <workbookView xWindow="28800" yWindow="-5800" windowWidth="51200" windowHeight="2880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1" l="1"/>
  <c r="B71" i="1"/>
  <c r="B70" i="1"/>
  <c r="B69" i="1"/>
  <c r="B66" i="1"/>
  <c r="A76" i="1" s="1"/>
  <c r="AI57" i="1"/>
  <c r="AI56" i="1"/>
  <c r="AI55" i="1"/>
  <c r="AI52" i="1"/>
  <c r="AI51" i="1"/>
  <c r="AI50" i="1"/>
  <c r="AI49" i="1"/>
  <c r="AI54" i="1" s="1"/>
  <c r="AI46" i="1"/>
  <c r="AI45" i="1"/>
  <c r="AI44" i="1"/>
  <c r="AI41" i="1"/>
  <c r="AI48" i="1" s="1"/>
  <c r="C38" i="1"/>
  <c r="AI36" i="1"/>
  <c r="AI35" i="1"/>
  <c r="AI34" i="1"/>
  <c r="AI33" i="1"/>
  <c r="AI32" i="1"/>
  <c r="AI31" i="1"/>
  <c r="AI30" i="1"/>
  <c r="AI29" i="1"/>
  <c r="AI28" i="1"/>
  <c r="AI27" i="1"/>
  <c r="AI26" i="1"/>
  <c r="AI38" i="1" s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3" i="1"/>
  <c r="AI24" i="1" s="1"/>
  <c r="C24" i="1"/>
  <c r="AI59" i="1" l="1"/>
</calcChain>
</file>

<file path=xl/sharedStrings.xml><?xml version="1.0" encoding="utf-8"?>
<sst xmlns="http://schemas.openxmlformats.org/spreadsheetml/2006/main" count="156" uniqueCount="102">
  <si>
    <t xml:space="preserve">Students </t>
  </si>
  <si>
    <t>Attendance</t>
  </si>
  <si>
    <t>Attendance Percentage</t>
  </si>
  <si>
    <t>last name</t>
  </si>
  <si>
    <t>First name</t>
  </si>
  <si>
    <t>Grade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</si>
  <si>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</si>
  <si>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</si>
  <si>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</si>
  <si>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</si>
  <si>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</si>
  <si>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</si>
  <si>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</si>
  <si>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</si>
  <si>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</si>
  <si>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</si>
  <si>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</si>
  <si>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</si>
  <si>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</si>
  <si>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</si>
  <si>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</si>
  <si>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</si>
  <si>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</si>
  <si>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</si>
  <si>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</si>
  <si>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</si>
  <si>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</si>
  <si>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</si>
  <si>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</si>
  <si>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</si>
  <si>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</si>
  <si>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</si>
  <si>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</si>
  <si>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</si>
  <si>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</si>
  <si>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</si>
  <si>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0/100%</t>
  </si>
  <si>
    <t>Bailey</t>
  </si>
  <si>
    <t>Krystal</t>
  </si>
  <si>
    <t>Todd</t>
  </si>
  <si>
    <t>James</t>
  </si>
  <si>
    <t>Clark</t>
  </si>
  <si>
    <t>Michael</t>
  </si>
  <si>
    <t>Jones</t>
  </si>
  <si>
    <t>Tom</t>
  </si>
  <si>
    <t>Smith</t>
  </si>
  <si>
    <t>Jim</t>
  </si>
  <si>
    <t>Patterson</t>
  </si>
  <si>
    <t>Sandy</t>
  </si>
  <si>
    <t>Kellers</t>
  </si>
  <si>
    <t>Cliff</t>
  </si>
  <si>
    <t>Matheson</t>
  </si>
  <si>
    <t>Bill</t>
  </si>
  <si>
    <t>Gellers</t>
  </si>
  <si>
    <t>Ralph</t>
  </si>
  <si>
    <t>Bakers</t>
  </si>
  <si>
    <t>Heather</t>
  </si>
  <si>
    <t>Lewis</t>
  </si>
  <si>
    <t>Joshua</t>
  </si>
  <si>
    <t>Williamson</t>
  </si>
  <si>
    <t>Paul</t>
  </si>
  <si>
    <t>Weathers</t>
  </si>
  <si>
    <t>Peter</t>
  </si>
  <si>
    <t>Zillinton</t>
  </si>
  <si>
    <t>Kim</t>
  </si>
  <si>
    <t>Willington</t>
  </si>
  <si>
    <t>Larry</t>
  </si>
  <si>
    <t>Lake</t>
  </si>
  <si>
    <t>Gary</t>
  </si>
  <si>
    <t>Hilltop</t>
  </si>
  <si>
    <t>Nat</t>
  </si>
  <si>
    <t>Willming</t>
  </si>
  <si>
    <t>Victor</t>
  </si>
  <si>
    <t>Capercorn</t>
  </si>
  <si>
    <t>Earl</t>
  </si>
  <si>
    <t>Michaels</t>
  </si>
  <si>
    <t>William</t>
  </si>
  <si>
    <t>Total Students</t>
  </si>
  <si>
    <t>Average Grade</t>
  </si>
  <si>
    <t>Average Attendance Percentage</t>
  </si>
  <si>
    <t>Students with an 80% and higher in attendance</t>
  </si>
  <si>
    <t>12th Grade Students with an 80% or higher attendance</t>
  </si>
  <si>
    <t>11th Grade Students with an 80% or higher attendance</t>
  </si>
  <si>
    <t>10th Grade Students with an 80% or higher in attendance</t>
  </si>
  <si>
    <t>9th Grade Students with an 80% or higher in attendance</t>
  </si>
  <si>
    <t>Set up pie chart to show the percentage of what grade produced the 80% or higher in attendance</t>
  </si>
  <si>
    <t>Number of Students By Grade with 80% or higher in attendance</t>
  </si>
  <si>
    <t>total</t>
  </si>
  <si>
    <t>total percentage out of each grade with 80% or higher in attendance</t>
  </si>
  <si>
    <t>12th Grade</t>
  </si>
  <si>
    <t>11th Grade</t>
  </si>
  <si>
    <t>10th Grade</t>
  </si>
  <si>
    <t>9th Grade</t>
  </si>
  <si>
    <t>Total</t>
  </si>
  <si>
    <t>Number of Students By Grade with 80% or higher in attendance by percentage</t>
  </si>
  <si>
    <t>Total percentage out of entire class</t>
  </si>
  <si>
    <t xml:space="preserve">Out of the 55%, over 36% of these students are in the 10th grade with only a </t>
  </si>
  <si>
    <t xml:space="preserve">55% of the total student class were in attendance 80% or higher within the the last 30 days. </t>
  </si>
  <si>
    <t>staggering 9% registering from 12th grade students. This analysis  conclude that</t>
  </si>
  <si>
    <t>decrease. To gain more insight into our analysis, I propose we issue a student survey,</t>
  </si>
  <si>
    <t>to obtain qualitative data on the reasons for attending class to increase the attendance ratings.</t>
  </si>
  <si>
    <t xml:space="preserve"> as students near graduation, their motivation to attend class dramatically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</si>
</sst>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444444"/>
      <name val="Calibri"/>
      <family val="2"/>
      <charset val="1"/>
    </font>
    <font>
      <sz val="24"/>
      <color theme="1"/>
      <name val="Calibri (Body)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Students with 80% or Higher in Attendance by Grade</a:t>
            </a:r>
          </a:p>
        </c:rich>
      </c:tx>
      <c:layout>
        <c:manualLayout>
          <c:xMode val="edge"/>
          <c:yMode val="edge"/>
          <c:x val="0.15208823870105578"/>
          <c:y val="1.6120906801007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Sheet1!$A$69</c:f>
              <c:strCache>
                <c:ptCount val="1"/>
                <c:pt idx="0">
                  <c:v>12th Grade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67A-A841-8A9A-E2A18BC6C3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67A-A841-8A9A-E2A18BC6C3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67A-A841-8A9A-E2A18BC6C3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67A-A841-8A9A-E2A18BC6C32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Sheet1!$B$69:$B$72</c:f>
              <c:numCache>
                <c:formatCode>0%</c:formatCode>
                <c:ptCount val="4"/>
                <c:pt idx="0">
                  <c:v>9.0909090909090912E-2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0.27272727272727271</c:v>
                </c:pt>
              </c:numCache>
            </c:numRef>
          </c:cat>
          <c:val>
            <c:numRef>
              <c:f>Sheet1!$B$69:$B$72</c:f>
              <c:numCache>
                <c:formatCode>0%</c:formatCode>
                <c:ptCount val="4"/>
                <c:pt idx="0">
                  <c:v>9.0909090909090912E-2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0.27272727272727271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FF-4655-8F91-D67692B4FD9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267A-A841-8A9A-E2A18BC6C32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612775</xdr:colOff>
      <xdr:row>57</xdr:row>
      <xdr:rowOff>149224</xdr:rowOff>
    </xdr:from>
    <xdr:to>
      <xdr:col>22</xdr:col>
      <xdr:colOff>38100</xdr:colOff>
      <xdr:row>90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EB4AB7-04EC-5DC4-1A07-767774D5D7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184151</xdr:colOff>
      <xdr:row>60</xdr:row>
      <xdr:rowOff>114300</xdr:rowOff>
    </xdr:from>
    <xdr:to>
      <xdr:col>11</xdr:col>
      <xdr:colOff>279401</xdr:colOff>
      <xdr:row>63</xdr:row>
      <xdr:rowOff>25400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ABDAEAA-C9CC-040C-6F99-1BDC3A5C5452}"/>
            </a:ext>
            <a:ext uri="{147F2762-F138-4A5C-976F-8EAC2B608ADB}">
              <a16:predDERef xmlns:a16="http://schemas.microsoft.com/office/drawing/2014/main" pred="{4AEB4AB7-04EC-5DC4-1A07-767774D5D72D}"/>
            </a:ext>
          </a:extLst>
        </xdr:cNvPr>
        <xdr:cNvSpPr txBox="1"/>
      </xdr:nvSpPr>
      <xdr:spPr>
        <a:xfrm>
          <a:off x="6800851" y="11544300"/>
          <a:ext cx="1441450" cy="8890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12th Grade = Blue</a:t>
          </a:r>
          <a:b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</a:br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11th</a:t>
          </a:r>
          <a:r>
            <a:rPr lang="en-US" sz="1100" baseline="0">
              <a:solidFill>
                <a:schemeClr val="dk1"/>
              </a:solidFill>
              <a:latin typeface="+mn-lt"/>
              <a:ea typeface="+mn-lt"/>
              <a:cs typeface="+mn-lt"/>
            </a:rPr>
            <a:t> Grade = Red</a:t>
          </a:r>
          <a:br>
            <a:rPr lang="en-US" sz="1100" baseline="0">
              <a:solidFill>
                <a:schemeClr val="dk1"/>
              </a:solidFill>
              <a:latin typeface="+mn-lt"/>
              <a:ea typeface="+mn-lt"/>
              <a:cs typeface="+mn-lt"/>
            </a:rPr>
          </a:br>
          <a:r>
            <a:rPr lang="en-US" sz="1100" baseline="0">
              <a:solidFill>
                <a:schemeClr val="dk1"/>
              </a:solidFill>
              <a:latin typeface="+mn-lt"/>
              <a:ea typeface="+mn-lt"/>
              <a:cs typeface="+mn-lt"/>
            </a:rPr>
            <a:t>10th Grade = Grey</a:t>
          </a:r>
        </a:p>
        <a:p>
          <a:pPr marL="0" indent="0" algn="l"/>
          <a:r>
            <a:rPr lang="en-US" sz="1100" baseline="0">
              <a:solidFill>
                <a:schemeClr val="dk1"/>
              </a:solidFill>
              <a:latin typeface="+mn-lt"/>
              <a:ea typeface="+mn-lt"/>
              <a:cs typeface="+mn-lt"/>
            </a:rPr>
            <a:t>9th Grade = Red</a:t>
          </a:r>
          <a:endParaRPr lang="en-US" sz="1100">
            <a:solidFill>
              <a:schemeClr val="dk1"/>
            </a:solidFill>
            <a:latin typeface="+mn-lt"/>
            <a:ea typeface="+mn-lt"/>
            <a:cs typeface="+mn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76"/>
  <sheetViews>
    <sheetView tabSelected="1" topLeftCell="A5" workbookViewId="0">
      <selection activeCell="A60" sqref="A60"/>
    </sheetView>
  </sheetViews>
  <sheetFormatPr baseColWidth="10" defaultColWidth="8.83203125" defaultRowHeight="15" x14ac:dyDescent="0.2"/>
  <cols>
    <col min="1" max="1" width="10.83203125" bestFit="1" customWidth="1"/>
    <col min="2" max="2" width="14.1640625" bestFit="1" customWidth="1"/>
    <col min="34" max="34" width="29.83203125" bestFit="1" customWidth="1"/>
    <col min="35" max="35" width="22" bestFit="1" customWidth="1"/>
  </cols>
  <sheetData>
    <row r="1" spans="1:35" x14ac:dyDescent="0.2">
      <c r="A1" t="s">
        <v>0</v>
      </c>
      <c r="D1" t="s">
        <v>1</v>
      </c>
      <c r="AI1" t="s">
        <v>2</v>
      </c>
    </row>
    <row r="2" spans="1:35" x14ac:dyDescent="0.2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R2" t="s">
        <v>20</v>
      </c>
      <c r="S2" t="s">
        <v>21</v>
      </c>
      <c r="T2" t="s">
        <v>22</v>
      </c>
      <c r="U2" t="s">
        <v>23</v>
      </c>
      <c r="V2" t="s">
        <v>24</v>
      </c>
      <c r="W2" t="s">
        <v>25</v>
      </c>
      <c r="X2" t="s">
        <v>26</v>
      </c>
      <c r="Y2" t="s">
        <v>27</v>
      </c>
      <c r="Z2" t="s">
        <v>28</v>
      </c>
      <c r="AA2" t="s">
        <v>29</v>
      </c>
      <c r="AB2" t="s">
        <v>30</v>
      </c>
      <c r="AC2" t="s">
        <v>31</v>
      </c>
      <c r="AD2" t="s">
        <v>32</v>
      </c>
      <c r="AE2" t="s">
        <v>33</v>
      </c>
      <c r="AF2" t="s">
        <v>34</v>
      </c>
      <c r="AG2" t="s">
        <v>35</v>
      </c>
      <c r="AI2" t="s">
        <v>36</v>
      </c>
    </row>
    <row r="3" spans="1:35" x14ac:dyDescent="0.2">
      <c r="A3" t="s">
        <v>37</v>
      </c>
      <c r="B3" t="s">
        <v>38</v>
      </c>
      <c r="C3">
        <v>9</v>
      </c>
      <c r="D3">
        <v>1</v>
      </c>
      <c r="E3">
        <v>0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1</v>
      </c>
      <c r="Z3">
        <v>1</v>
      </c>
      <c r="AA3">
        <v>1</v>
      </c>
      <c r="AB3">
        <v>0</v>
      </c>
      <c r="AC3">
        <v>1</v>
      </c>
      <c r="AD3">
        <v>1</v>
      </c>
      <c r="AE3">
        <v>1</v>
      </c>
      <c r="AF3">
        <v>0</v>
      </c>
      <c r="AG3">
        <v>1</v>
      </c>
      <c r="AI3" s="1">
        <f>AVERAGE(D3:AG3)</f>
        <v>0.7</v>
      </c>
    </row>
    <row r="4" spans="1:35" x14ac:dyDescent="0.2">
      <c r="A4" t="s">
        <v>39</v>
      </c>
      <c r="B4" t="s">
        <v>40</v>
      </c>
      <c r="C4">
        <v>12</v>
      </c>
      <c r="D4">
        <v>1</v>
      </c>
      <c r="E4">
        <v>0</v>
      </c>
      <c r="F4">
        <v>1</v>
      </c>
      <c r="G4">
        <v>0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0</v>
      </c>
      <c r="V4">
        <v>1</v>
      </c>
      <c r="W4">
        <v>1</v>
      </c>
      <c r="X4">
        <v>0</v>
      </c>
      <c r="Y4">
        <v>1</v>
      </c>
      <c r="Z4">
        <v>0</v>
      </c>
      <c r="AA4">
        <v>1</v>
      </c>
      <c r="AB4">
        <v>1</v>
      </c>
      <c r="AC4">
        <v>0</v>
      </c>
      <c r="AD4">
        <v>1</v>
      </c>
      <c r="AE4">
        <v>0</v>
      </c>
      <c r="AF4">
        <v>0</v>
      </c>
      <c r="AG4">
        <v>1</v>
      </c>
      <c r="AI4" s="1">
        <f t="shared" ref="AI4:AI22" si="0">AVERAGE(D4:AG4)</f>
        <v>0.7</v>
      </c>
    </row>
    <row r="5" spans="1:35" x14ac:dyDescent="0.2">
      <c r="A5" t="s">
        <v>41</v>
      </c>
      <c r="B5" t="s">
        <v>42</v>
      </c>
      <c r="C5">
        <v>11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1</v>
      </c>
      <c r="Q5">
        <v>1</v>
      </c>
      <c r="R5">
        <v>0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1</v>
      </c>
      <c r="AA5">
        <v>1</v>
      </c>
      <c r="AB5">
        <v>0</v>
      </c>
      <c r="AC5">
        <v>1</v>
      </c>
      <c r="AD5">
        <v>1</v>
      </c>
      <c r="AE5">
        <v>1</v>
      </c>
      <c r="AF5">
        <v>0</v>
      </c>
      <c r="AG5">
        <v>1</v>
      </c>
      <c r="AI5" s="1">
        <f t="shared" si="0"/>
        <v>0.83333333333333337</v>
      </c>
    </row>
    <row r="6" spans="1:35" x14ac:dyDescent="0.2">
      <c r="A6" t="s">
        <v>43</v>
      </c>
      <c r="B6" t="s">
        <v>44</v>
      </c>
      <c r="C6">
        <v>10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0</v>
      </c>
      <c r="U6">
        <v>1</v>
      </c>
      <c r="V6">
        <v>1</v>
      </c>
      <c r="W6">
        <v>1</v>
      </c>
      <c r="X6">
        <v>1</v>
      </c>
      <c r="Y6">
        <v>1</v>
      </c>
      <c r="Z6">
        <v>0</v>
      </c>
      <c r="AA6">
        <v>1</v>
      </c>
      <c r="AB6">
        <v>1</v>
      </c>
      <c r="AC6">
        <v>1</v>
      </c>
      <c r="AD6">
        <v>1</v>
      </c>
      <c r="AE6">
        <v>0</v>
      </c>
      <c r="AF6">
        <v>1</v>
      </c>
      <c r="AG6">
        <v>1</v>
      </c>
      <c r="AI6" s="1">
        <f t="shared" si="0"/>
        <v>0.9</v>
      </c>
    </row>
    <row r="7" spans="1:35" x14ac:dyDescent="0.2">
      <c r="A7" t="s">
        <v>45</v>
      </c>
      <c r="B7" t="s">
        <v>46</v>
      </c>
      <c r="C7">
        <v>9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0</v>
      </c>
      <c r="AE7">
        <v>1</v>
      </c>
      <c r="AF7">
        <v>1</v>
      </c>
      <c r="AG7">
        <v>1</v>
      </c>
      <c r="AI7" s="1">
        <f t="shared" si="0"/>
        <v>0.83333333333333337</v>
      </c>
    </row>
    <row r="8" spans="1:35" x14ac:dyDescent="0.2">
      <c r="A8" t="s">
        <v>47</v>
      </c>
      <c r="B8" t="s">
        <v>48</v>
      </c>
      <c r="C8">
        <v>10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0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1</v>
      </c>
      <c r="X8">
        <v>1</v>
      </c>
      <c r="Y8">
        <v>1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I8" s="1">
        <f t="shared" si="0"/>
        <v>0.83333333333333337</v>
      </c>
    </row>
    <row r="9" spans="1:35" x14ac:dyDescent="0.2">
      <c r="A9" t="s">
        <v>49</v>
      </c>
      <c r="B9" t="s">
        <v>50</v>
      </c>
      <c r="C9">
        <v>9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1</v>
      </c>
      <c r="AF9">
        <v>1</v>
      </c>
      <c r="AG9">
        <v>0</v>
      </c>
      <c r="AI9" s="1">
        <f t="shared" si="0"/>
        <v>0.46666666666666667</v>
      </c>
    </row>
    <row r="10" spans="1:35" x14ac:dyDescent="0.2">
      <c r="A10" t="s">
        <v>51</v>
      </c>
      <c r="B10" t="s">
        <v>52</v>
      </c>
      <c r="C10">
        <v>12</v>
      </c>
      <c r="D10">
        <v>1</v>
      </c>
      <c r="E10">
        <v>1</v>
      </c>
      <c r="F10">
        <v>1</v>
      </c>
      <c r="G10">
        <v>1</v>
      </c>
      <c r="H10">
        <v>0</v>
      </c>
      <c r="I10">
        <v>1</v>
      </c>
      <c r="J10">
        <v>1</v>
      </c>
      <c r="K10">
        <v>0</v>
      </c>
      <c r="L10">
        <v>1</v>
      </c>
      <c r="M10">
        <v>1</v>
      </c>
      <c r="N10">
        <v>0</v>
      </c>
      <c r="O10">
        <v>1</v>
      </c>
      <c r="P10">
        <v>1</v>
      </c>
      <c r="Q10">
        <v>0</v>
      </c>
      <c r="R10">
        <v>1</v>
      </c>
      <c r="S10">
        <v>1</v>
      </c>
      <c r="T10">
        <v>0</v>
      </c>
      <c r="U10">
        <v>1</v>
      </c>
      <c r="V10">
        <v>1</v>
      </c>
      <c r="W10">
        <v>0</v>
      </c>
      <c r="X10">
        <v>1</v>
      </c>
      <c r="Y10">
        <v>1</v>
      </c>
      <c r="Z10">
        <v>0</v>
      </c>
      <c r="AA10">
        <v>1</v>
      </c>
      <c r="AB10">
        <v>1</v>
      </c>
      <c r="AC10">
        <v>1</v>
      </c>
      <c r="AD10">
        <v>0</v>
      </c>
      <c r="AE10">
        <v>1</v>
      </c>
      <c r="AF10">
        <v>1</v>
      </c>
      <c r="AG10">
        <v>0</v>
      </c>
      <c r="AI10" s="1">
        <f t="shared" si="0"/>
        <v>0.7</v>
      </c>
    </row>
    <row r="11" spans="1:35" x14ac:dyDescent="0.2">
      <c r="A11" t="s">
        <v>53</v>
      </c>
      <c r="B11" t="s">
        <v>54</v>
      </c>
      <c r="C11">
        <v>11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0</v>
      </c>
      <c r="X11">
        <v>0</v>
      </c>
      <c r="Y11">
        <v>1</v>
      </c>
      <c r="Z11">
        <v>1</v>
      </c>
      <c r="AA11">
        <v>0</v>
      </c>
      <c r="AB11">
        <v>1</v>
      </c>
      <c r="AC11">
        <v>1</v>
      </c>
      <c r="AD11">
        <v>0</v>
      </c>
      <c r="AE11">
        <v>1</v>
      </c>
      <c r="AF11">
        <v>1</v>
      </c>
      <c r="AG11">
        <v>1</v>
      </c>
      <c r="AI11" s="1">
        <f t="shared" si="0"/>
        <v>0.33333333333333331</v>
      </c>
    </row>
    <row r="12" spans="1:35" x14ac:dyDescent="0.2">
      <c r="A12" t="s">
        <v>55</v>
      </c>
      <c r="B12" t="s">
        <v>56</v>
      </c>
      <c r="C12">
        <v>9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I12" s="1">
        <f t="shared" si="0"/>
        <v>1</v>
      </c>
    </row>
    <row r="13" spans="1:35" x14ac:dyDescent="0.2">
      <c r="A13" t="s">
        <v>57</v>
      </c>
      <c r="B13" t="s">
        <v>58</v>
      </c>
      <c r="C13">
        <v>10</v>
      </c>
      <c r="D13">
        <v>1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1</v>
      </c>
      <c r="N13">
        <v>0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I13" s="1">
        <f t="shared" si="0"/>
        <v>0.9</v>
      </c>
    </row>
    <row r="14" spans="1:35" x14ac:dyDescent="0.2">
      <c r="A14" t="s">
        <v>59</v>
      </c>
      <c r="B14" t="s">
        <v>60</v>
      </c>
      <c r="C14">
        <v>9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0</v>
      </c>
      <c r="Q14">
        <v>1</v>
      </c>
      <c r="R14">
        <v>0</v>
      </c>
      <c r="S14">
        <v>1</v>
      </c>
      <c r="T14">
        <v>0</v>
      </c>
      <c r="U14">
        <v>1</v>
      </c>
      <c r="V14">
        <v>0</v>
      </c>
      <c r="W14">
        <v>1</v>
      </c>
      <c r="X14">
        <v>1</v>
      </c>
      <c r="Y14">
        <v>1</v>
      </c>
      <c r="Z14">
        <v>1</v>
      </c>
      <c r="AA14">
        <v>1</v>
      </c>
      <c r="AB14">
        <v>0</v>
      </c>
      <c r="AC14">
        <v>1</v>
      </c>
      <c r="AD14">
        <v>1</v>
      </c>
      <c r="AE14">
        <v>1</v>
      </c>
      <c r="AF14">
        <v>1</v>
      </c>
      <c r="AG14">
        <v>1</v>
      </c>
      <c r="AI14" s="1">
        <f t="shared" si="0"/>
        <v>0.73333333333333328</v>
      </c>
    </row>
    <row r="15" spans="1:35" x14ac:dyDescent="0.2">
      <c r="A15" t="s">
        <v>61</v>
      </c>
      <c r="B15" t="s">
        <v>62</v>
      </c>
      <c r="C15">
        <v>10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1</v>
      </c>
      <c r="P15">
        <v>1</v>
      </c>
      <c r="Q15">
        <v>1</v>
      </c>
      <c r="R15">
        <v>0</v>
      </c>
      <c r="S15">
        <v>1</v>
      </c>
      <c r="T15">
        <v>1</v>
      </c>
      <c r="U15">
        <v>0</v>
      </c>
      <c r="V15">
        <v>1</v>
      </c>
      <c r="W15">
        <v>1</v>
      </c>
      <c r="X15">
        <v>1</v>
      </c>
      <c r="Y15">
        <v>0</v>
      </c>
      <c r="Z15">
        <v>1</v>
      </c>
      <c r="AA15">
        <v>1</v>
      </c>
      <c r="AB15">
        <v>1</v>
      </c>
      <c r="AC15">
        <v>0</v>
      </c>
      <c r="AD15">
        <v>1</v>
      </c>
      <c r="AE15">
        <v>1</v>
      </c>
      <c r="AF15">
        <v>1</v>
      </c>
      <c r="AG15">
        <v>1</v>
      </c>
      <c r="AI15" s="1">
        <f t="shared" si="0"/>
        <v>0.8</v>
      </c>
    </row>
    <row r="16" spans="1:35" x14ac:dyDescent="0.2">
      <c r="A16" t="s">
        <v>63</v>
      </c>
      <c r="B16" t="s">
        <v>64</v>
      </c>
      <c r="C16">
        <v>11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</v>
      </c>
      <c r="P16">
        <v>1</v>
      </c>
      <c r="Q16">
        <v>1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 s="1">
        <f t="shared" si="0"/>
        <v>0.9</v>
      </c>
    </row>
    <row r="17" spans="1:35" x14ac:dyDescent="0.2">
      <c r="A17" t="s">
        <v>65</v>
      </c>
      <c r="B17" t="s">
        <v>66</v>
      </c>
      <c r="C17">
        <v>12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1</v>
      </c>
      <c r="S17">
        <v>0</v>
      </c>
      <c r="T17">
        <v>1</v>
      </c>
      <c r="U17">
        <v>1</v>
      </c>
      <c r="V17">
        <v>1</v>
      </c>
      <c r="W17">
        <v>1</v>
      </c>
      <c r="X17">
        <v>0</v>
      </c>
      <c r="Y17">
        <v>1</v>
      </c>
      <c r="Z17">
        <v>1</v>
      </c>
      <c r="AA17">
        <v>1</v>
      </c>
      <c r="AB17">
        <v>1</v>
      </c>
      <c r="AC17">
        <v>0</v>
      </c>
      <c r="AD17">
        <v>1</v>
      </c>
      <c r="AE17">
        <v>0</v>
      </c>
      <c r="AF17">
        <v>1</v>
      </c>
      <c r="AG17">
        <v>0</v>
      </c>
      <c r="AI17" s="1">
        <f t="shared" si="0"/>
        <v>0.4</v>
      </c>
    </row>
    <row r="18" spans="1:35" x14ac:dyDescent="0.2">
      <c r="A18" t="s">
        <v>67</v>
      </c>
      <c r="B18" t="s">
        <v>68</v>
      </c>
      <c r="C18">
        <v>12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1</v>
      </c>
      <c r="S18">
        <v>0</v>
      </c>
      <c r="T18">
        <v>1</v>
      </c>
      <c r="U18">
        <v>0</v>
      </c>
      <c r="V18">
        <v>1</v>
      </c>
      <c r="W18">
        <v>0</v>
      </c>
      <c r="X18">
        <v>1</v>
      </c>
      <c r="Y18">
        <v>0</v>
      </c>
      <c r="Z18">
        <v>1</v>
      </c>
      <c r="AA18">
        <v>0</v>
      </c>
      <c r="AB18">
        <v>1</v>
      </c>
      <c r="AC18">
        <v>0</v>
      </c>
      <c r="AD18">
        <v>1</v>
      </c>
      <c r="AE18">
        <v>0</v>
      </c>
      <c r="AF18">
        <v>1</v>
      </c>
      <c r="AG18">
        <v>0</v>
      </c>
      <c r="AI18" s="1">
        <f t="shared" si="0"/>
        <v>0.7</v>
      </c>
    </row>
    <row r="19" spans="1:35" x14ac:dyDescent="0.2">
      <c r="A19" t="s">
        <v>69</v>
      </c>
      <c r="B19" t="s">
        <v>70</v>
      </c>
      <c r="C19">
        <v>12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1</v>
      </c>
      <c r="O19">
        <v>0</v>
      </c>
      <c r="P19">
        <v>1</v>
      </c>
      <c r="Q19">
        <v>0</v>
      </c>
      <c r="R19">
        <v>1</v>
      </c>
      <c r="S19">
        <v>0</v>
      </c>
      <c r="T19">
        <v>1</v>
      </c>
      <c r="U19">
        <v>0</v>
      </c>
      <c r="V19">
        <v>1</v>
      </c>
      <c r="W19">
        <v>0</v>
      </c>
      <c r="X19">
        <v>1</v>
      </c>
      <c r="Y19">
        <v>0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1</v>
      </c>
      <c r="AG19">
        <v>1</v>
      </c>
      <c r="AI19" s="1">
        <f t="shared" si="0"/>
        <v>0.73333333333333328</v>
      </c>
    </row>
    <row r="20" spans="1:35" x14ac:dyDescent="0.2">
      <c r="A20" t="s">
        <v>71</v>
      </c>
      <c r="B20" t="s">
        <v>72</v>
      </c>
      <c r="C20">
        <v>9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1</v>
      </c>
      <c r="Q20">
        <v>0</v>
      </c>
      <c r="R20">
        <v>1</v>
      </c>
      <c r="S20">
        <v>0</v>
      </c>
      <c r="T20">
        <v>1</v>
      </c>
      <c r="U20">
        <v>0</v>
      </c>
      <c r="V20">
        <v>1</v>
      </c>
      <c r="W20">
        <v>0</v>
      </c>
      <c r="X20">
        <v>1</v>
      </c>
      <c r="Y20">
        <v>0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I20" s="1">
        <f t="shared" si="0"/>
        <v>0.8</v>
      </c>
    </row>
    <row r="21" spans="1:35" x14ac:dyDescent="0.2">
      <c r="A21" t="s">
        <v>73</v>
      </c>
      <c r="B21" t="s">
        <v>74</v>
      </c>
      <c r="C21">
        <v>12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0</v>
      </c>
      <c r="R21">
        <v>1</v>
      </c>
      <c r="S21">
        <v>0</v>
      </c>
      <c r="T21">
        <v>1</v>
      </c>
      <c r="U21">
        <v>1</v>
      </c>
      <c r="V21">
        <v>0</v>
      </c>
      <c r="W21">
        <v>1</v>
      </c>
      <c r="X21">
        <v>0</v>
      </c>
      <c r="Y21">
        <v>1</v>
      </c>
      <c r="Z21">
        <v>0</v>
      </c>
      <c r="AA21">
        <v>1</v>
      </c>
      <c r="AB21">
        <v>0</v>
      </c>
      <c r="AC21">
        <v>1</v>
      </c>
      <c r="AD21">
        <v>1</v>
      </c>
      <c r="AE21">
        <v>1</v>
      </c>
      <c r="AF21">
        <v>1</v>
      </c>
      <c r="AG21">
        <v>1</v>
      </c>
      <c r="AI21" s="1">
        <f t="shared" si="0"/>
        <v>0.8</v>
      </c>
    </row>
    <row r="22" spans="1:35" x14ac:dyDescent="0.2">
      <c r="A22" t="s">
        <v>75</v>
      </c>
      <c r="B22" t="s">
        <v>76</v>
      </c>
      <c r="C22">
        <v>11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I22" s="1">
        <f t="shared" si="0"/>
        <v>1</v>
      </c>
    </row>
    <row r="23" spans="1:35" x14ac:dyDescent="0.2">
      <c r="A23" t="s">
        <v>77</v>
      </c>
      <c r="B23">
        <v>20</v>
      </c>
    </row>
    <row r="24" spans="1:35" x14ac:dyDescent="0.2">
      <c r="B24" t="s">
        <v>78</v>
      </c>
      <c r="C24">
        <f>AVERAGE(C3:C22)</f>
        <v>10.5</v>
      </c>
      <c r="AH24" t="s">
        <v>79</v>
      </c>
      <c r="AI24" s="1">
        <f>AVERAGE(AI3:AI22)</f>
        <v>0.7533333333333333</v>
      </c>
    </row>
    <row r="25" spans="1:35" x14ac:dyDescent="0.2">
      <c r="A25" t="s">
        <v>80</v>
      </c>
    </row>
    <row r="26" spans="1:35" s="4" customFormat="1" x14ac:dyDescent="0.2">
      <c r="A26" s="4" t="s">
        <v>41</v>
      </c>
      <c r="B26" s="4" t="s">
        <v>42</v>
      </c>
      <c r="C26" s="4">
        <v>11</v>
      </c>
      <c r="D26" s="4">
        <v>1</v>
      </c>
      <c r="E26" s="4">
        <v>1</v>
      </c>
      <c r="F26" s="4">
        <v>1</v>
      </c>
      <c r="G26" s="4">
        <v>1</v>
      </c>
      <c r="H26" s="4">
        <v>1</v>
      </c>
      <c r="I26" s="4">
        <v>1</v>
      </c>
      <c r="J26" s="4">
        <v>1</v>
      </c>
      <c r="K26" s="4">
        <v>1</v>
      </c>
      <c r="L26" s="4">
        <v>1</v>
      </c>
      <c r="M26" s="4">
        <v>1</v>
      </c>
      <c r="N26" s="4">
        <v>1</v>
      </c>
      <c r="O26" s="4">
        <v>0</v>
      </c>
      <c r="P26" s="4">
        <v>1</v>
      </c>
      <c r="Q26" s="4">
        <v>1</v>
      </c>
      <c r="R26" s="4">
        <v>0</v>
      </c>
      <c r="S26" s="4">
        <v>1</v>
      </c>
      <c r="T26" s="4">
        <v>1</v>
      </c>
      <c r="U26" s="4">
        <v>1</v>
      </c>
      <c r="V26" s="4">
        <v>1</v>
      </c>
      <c r="W26" s="4">
        <v>0</v>
      </c>
      <c r="X26" s="4">
        <v>1</v>
      </c>
      <c r="Y26" s="4">
        <v>1</v>
      </c>
      <c r="Z26" s="4">
        <v>1</v>
      </c>
      <c r="AA26" s="4">
        <v>1</v>
      </c>
      <c r="AB26" s="4">
        <v>0</v>
      </c>
      <c r="AC26" s="4">
        <v>1</v>
      </c>
      <c r="AD26" s="4">
        <v>1</v>
      </c>
      <c r="AE26" s="4">
        <v>1</v>
      </c>
      <c r="AF26" s="4">
        <v>0</v>
      </c>
      <c r="AG26" s="4">
        <v>1</v>
      </c>
      <c r="AI26" s="5">
        <f t="shared" ref="AI26:AI36" si="1">AVERAGE(D26:AG26)</f>
        <v>0.83333333333333337</v>
      </c>
    </row>
    <row r="27" spans="1:35" s="4" customFormat="1" x14ac:dyDescent="0.2">
      <c r="A27" s="4" t="s">
        <v>43</v>
      </c>
      <c r="B27" s="4" t="s">
        <v>44</v>
      </c>
      <c r="C27" s="4">
        <v>10</v>
      </c>
      <c r="D27" s="4">
        <v>1</v>
      </c>
      <c r="E27" s="4">
        <v>1</v>
      </c>
      <c r="F27" s="4">
        <v>1</v>
      </c>
      <c r="G27" s="4">
        <v>1</v>
      </c>
      <c r="H27" s="4">
        <v>1</v>
      </c>
      <c r="I27" s="4">
        <v>1</v>
      </c>
      <c r="J27" s="4">
        <v>1</v>
      </c>
      <c r="K27" s="4">
        <v>1</v>
      </c>
      <c r="L27" s="4">
        <v>1</v>
      </c>
      <c r="M27" s="4">
        <v>1</v>
      </c>
      <c r="N27" s="4">
        <v>1</v>
      </c>
      <c r="O27" s="4">
        <v>1</v>
      </c>
      <c r="P27" s="4">
        <v>1</v>
      </c>
      <c r="Q27" s="4">
        <v>1</v>
      </c>
      <c r="R27" s="4">
        <v>1</v>
      </c>
      <c r="S27" s="4">
        <v>1</v>
      </c>
      <c r="T27" s="4">
        <v>0</v>
      </c>
      <c r="U27" s="4">
        <v>1</v>
      </c>
      <c r="V27" s="4">
        <v>1</v>
      </c>
      <c r="W27" s="4">
        <v>1</v>
      </c>
      <c r="X27" s="4">
        <v>1</v>
      </c>
      <c r="Y27" s="4">
        <v>1</v>
      </c>
      <c r="Z27" s="4">
        <v>0</v>
      </c>
      <c r="AA27" s="4">
        <v>1</v>
      </c>
      <c r="AB27" s="4">
        <v>1</v>
      </c>
      <c r="AC27" s="4">
        <v>1</v>
      </c>
      <c r="AD27" s="4">
        <v>1</v>
      </c>
      <c r="AE27" s="4">
        <v>0</v>
      </c>
      <c r="AF27" s="4">
        <v>1</v>
      </c>
      <c r="AG27" s="4">
        <v>1</v>
      </c>
      <c r="AI27" s="5">
        <f t="shared" si="1"/>
        <v>0.9</v>
      </c>
    </row>
    <row r="28" spans="1:35" s="4" customFormat="1" x14ac:dyDescent="0.2">
      <c r="A28" s="4" t="s">
        <v>45</v>
      </c>
      <c r="B28" s="4" t="s">
        <v>46</v>
      </c>
      <c r="C28" s="4">
        <v>9</v>
      </c>
      <c r="D28" s="4">
        <v>1</v>
      </c>
      <c r="E28" s="4">
        <v>1</v>
      </c>
      <c r="F28" s="4">
        <v>1</v>
      </c>
      <c r="G28" s="4">
        <v>1</v>
      </c>
      <c r="H28" s="4">
        <v>1</v>
      </c>
      <c r="I28" s="4">
        <v>1</v>
      </c>
      <c r="J28" s="4">
        <v>1</v>
      </c>
      <c r="K28" s="4">
        <v>1</v>
      </c>
      <c r="L28" s="4">
        <v>1</v>
      </c>
      <c r="M28" s="4">
        <v>1</v>
      </c>
      <c r="N28" s="4">
        <v>1</v>
      </c>
      <c r="O28" s="4">
        <v>1</v>
      </c>
      <c r="P28" s="4">
        <v>1</v>
      </c>
      <c r="Q28" s="4">
        <v>0</v>
      </c>
      <c r="R28" s="4">
        <v>0</v>
      </c>
      <c r="S28" s="4">
        <v>0</v>
      </c>
      <c r="T28" s="4">
        <v>1</v>
      </c>
      <c r="U28" s="4">
        <v>1</v>
      </c>
      <c r="V28" s="4">
        <v>1</v>
      </c>
      <c r="W28" s="4">
        <v>0</v>
      </c>
      <c r="X28" s="4">
        <v>1</v>
      </c>
      <c r="Y28" s="4">
        <v>1</v>
      </c>
      <c r="Z28" s="4">
        <v>1</v>
      </c>
      <c r="AA28" s="4">
        <v>1</v>
      </c>
      <c r="AB28" s="4">
        <v>1</v>
      </c>
      <c r="AC28" s="4">
        <v>1</v>
      </c>
      <c r="AD28" s="4">
        <v>0</v>
      </c>
      <c r="AE28" s="4">
        <v>1</v>
      </c>
      <c r="AF28" s="4">
        <v>1</v>
      </c>
      <c r="AG28" s="4">
        <v>1</v>
      </c>
      <c r="AI28" s="5">
        <f t="shared" si="1"/>
        <v>0.83333333333333337</v>
      </c>
    </row>
    <row r="29" spans="1:35" s="4" customFormat="1" x14ac:dyDescent="0.2">
      <c r="A29" s="4" t="s">
        <v>47</v>
      </c>
      <c r="B29" s="4" t="s">
        <v>48</v>
      </c>
      <c r="C29" s="4">
        <v>10</v>
      </c>
      <c r="D29" s="4">
        <v>1</v>
      </c>
      <c r="E29" s="4">
        <v>1</v>
      </c>
      <c r="F29" s="4">
        <v>1</v>
      </c>
      <c r="G29" s="4">
        <v>1</v>
      </c>
      <c r="H29" s="4">
        <v>1</v>
      </c>
      <c r="I29" s="4">
        <v>1</v>
      </c>
      <c r="J29" s="4">
        <v>1</v>
      </c>
      <c r="K29" s="4">
        <v>1</v>
      </c>
      <c r="L29" s="4">
        <v>1</v>
      </c>
      <c r="M29" s="4">
        <v>1</v>
      </c>
      <c r="N29" s="4">
        <v>1</v>
      </c>
      <c r="O29" s="4">
        <v>0</v>
      </c>
      <c r="P29" s="4">
        <v>1</v>
      </c>
      <c r="Q29" s="4">
        <v>0</v>
      </c>
      <c r="R29" s="4">
        <v>1</v>
      </c>
      <c r="S29" s="4">
        <v>0</v>
      </c>
      <c r="T29" s="4">
        <v>1</v>
      </c>
      <c r="U29" s="4">
        <v>0</v>
      </c>
      <c r="V29" s="4">
        <v>1</v>
      </c>
      <c r="W29" s="4">
        <v>1</v>
      </c>
      <c r="X29" s="4">
        <v>1</v>
      </c>
      <c r="Y29" s="4">
        <v>1</v>
      </c>
      <c r="Z29" s="4">
        <v>0</v>
      </c>
      <c r="AA29" s="4">
        <v>1</v>
      </c>
      <c r="AB29" s="4">
        <v>1</v>
      </c>
      <c r="AC29" s="4">
        <v>1</v>
      </c>
      <c r="AD29" s="4">
        <v>1</v>
      </c>
      <c r="AE29" s="4">
        <v>1</v>
      </c>
      <c r="AF29" s="4">
        <v>1</v>
      </c>
      <c r="AG29" s="4">
        <v>1</v>
      </c>
      <c r="AI29" s="5">
        <f t="shared" si="1"/>
        <v>0.83333333333333337</v>
      </c>
    </row>
    <row r="30" spans="1:35" s="4" customFormat="1" x14ac:dyDescent="0.2">
      <c r="A30" s="4" t="s">
        <v>55</v>
      </c>
      <c r="B30" s="4" t="s">
        <v>56</v>
      </c>
      <c r="C30" s="4">
        <v>9</v>
      </c>
      <c r="D30" s="4">
        <v>1</v>
      </c>
      <c r="E30" s="4">
        <v>1</v>
      </c>
      <c r="F30" s="4">
        <v>1</v>
      </c>
      <c r="G30" s="4">
        <v>1</v>
      </c>
      <c r="H30" s="4">
        <v>1</v>
      </c>
      <c r="I30" s="4">
        <v>1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1</v>
      </c>
      <c r="Q30" s="4">
        <v>1</v>
      </c>
      <c r="R30" s="4">
        <v>1</v>
      </c>
      <c r="S30" s="4">
        <v>1</v>
      </c>
      <c r="T30" s="4">
        <v>1</v>
      </c>
      <c r="U30" s="4">
        <v>1</v>
      </c>
      <c r="V30" s="4">
        <v>1</v>
      </c>
      <c r="W30" s="4">
        <v>1</v>
      </c>
      <c r="X30" s="4">
        <v>1</v>
      </c>
      <c r="Y30" s="4">
        <v>1</v>
      </c>
      <c r="Z30" s="4">
        <v>1</v>
      </c>
      <c r="AA30" s="4">
        <v>1</v>
      </c>
      <c r="AB30" s="4">
        <v>1</v>
      </c>
      <c r="AC30" s="4">
        <v>1</v>
      </c>
      <c r="AD30" s="4">
        <v>1</v>
      </c>
      <c r="AE30" s="4">
        <v>1</v>
      </c>
      <c r="AF30" s="4">
        <v>1</v>
      </c>
      <c r="AG30" s="4">
        <v>1</v>
      </c>
      <c r="AI30" s="5">
        <f t="shared" si="1"/>
        <v>1</v>
      </c>
    </row>
    <row r="31" spans="1:35" s="4" customFormat="1" x14ac:dyDescent="0.2">
      <c r="A31" s="4" t="s">
        <v>57</v>
      </c>
      <c r="B31" s="4" t="s">
        <v>58</v>
      </c>
      <c r="C31" s="4">
        <v>10</v>
      </c>
      <c r="D31" s="4">
        <v>1</v>
      </c>
      <c r="E31" s="4">
        <v>1</v>
      </c>
      <c r="F31" s="4">
        <v>1</v>
      </c>
      <c r="G31" s="4">
        <v>1</v>
      </c>
      <c r="H31" s="4">
        <v>1</v>
      </c>
      <c r="I31" s="4">
        <v>0</v>
      </c>
      <c r="J31" s="4">
        <v>0</v>
      </c>
      <c r="K31" s="4">
        <v>1</v>
      </c>
      <c r="L31" s="4">
        <v>1</v>
      </c>
      <c r="M31" s="4">
        <v>1</v>
      </c>
      <c r="N31" s="4">
        <v>0</v>
      </c>
      <c r="O31" s="4">
        <v>1</v>
      </c>
      <c r="P31" s="4">
        <v>1</v>
      </c>
      <c r="Q31" s="4">
        <v>1</v>
      </c>
      <c r="R31" s="4">
        <v>1</v>
      </c>
      <c r="S31" s="4">
        <v>1</v>
      </c>
      <c r="T31" s="4">
        <v>1</v>
      </c>
      <c r="U31" s="4">
        <v>1</v>
      </c>
      <c r="V31" s="4">
        <v>1</v>
      </c>
      <c r="W31" s="4">
        <v>1</v>
      </c>
      <c r="X31" s="4">
        <v>1</v>
      </c>
      <c r="Y31" s="4">
        <v>1</v>
      </c>
      <c r="Z31" s="4">
        <v>1</v>
      </c>
      <c r="AA31" s="4">
        <v>1</v>
      </c>
      <c r="AB31" s="4">
        <v>1</v>
      </c>
      <c r="AC31" s="4">
        <v>1</v>
      </c>
      <c r="AD31" s="4">
        <v>1</v>
      </c>
      <c r="AE31" s="4">
        <v>1</v>
      </c>
      <c r="AF31" s="4">
        <v>1</v>
      </c>
      <c r="AG31" s="4">
        <v>1</v>
      </c>
      <c r="AI31" s="5">
        <f t="shared" si="1"/>
        <v>0.9</v>
      </c>
    </row>
    <row r="32" spans="1:35" s="4" customFormat="1" x14ac:dyDescent="0.2">
      <c r="A32" s="4" t="s">
        <v>61</v>
      </c>
      <c r="B32" s="4" t="s">
        <v>62</v>
      </c>
      <c r="C32" s="4">
        <v>10</v>
      </c>
      <c r="D32" s="4">
        <v>1</v>
      </c>
      <c r="E32" s="4">
        <v>1</v>
      </c>
      <c r="F32" s="4">
        <v>1</v>
      </c>
      <c r="G32" s="4">
        <v>1</v>
      </c>
      <c r="H32" s="4">
        <v>1</v>
      </c>
      <c r="I32" s="4">
        <v>1</v>
      </c>
      <c r="J32" s="4">
        <v>1</v>
      </c>
      <c r="K32" s="4">
        <v>1</v>
      </c>
      <c r="L32" s="4">
        <v>1</v>
      </c>
      <c r="M32" s="4">
        <v>0</v>
      </c>
      <c r="N32" s="4">
        <v>0</v>
      </c>
      <c r="O32" s="4">
        <v>1</v>
      </c>
      <c r="P32" s="4">
        <v>1</v>
      </c>
      <c r="Q32" s="4">
        <v>1</v>
      </c>
      <c r="R32" s="4">
        <v>0</v>
      </c>
      <c r="S32" s="4">
        <v>1</v>
      </c>
      <c r="T32" s="4">
        <v>1</v>
      </c>
      <c r="U32" s="4">
        <v>0</v>
      </c>
      <c r="V32" s="4">
        <v>1</v>
      </c>
      <c r="W32" s="4">
        <v>1</v>
      </c>
      <c r="X32" s="4">
        <v>1</v>
      </c>
      <c r="Y32" s="4">
        <v>0</v>
      </c>
      <c r="Z32" s="4">
        <v>1</v>
      </c>
      <c r="AA32" s="4">
        <v>1</v>
      </c>
      <c r="AB32" s="4">
        <v>1</v>
      </c>
      <c r="AC32" s="4">
        <v>0</v>
      </c>
      <c r="AD32" s="4">
        <v>1</v>
      </c>
      <c r="AE32" s="4">
        <v>1</v>
      </c>
      <c r="AF32" s="4">
        <v>1</v>
      </c>
      <c r="AG32" s="4">
        <v>1</v>
      </c>
      <c r="AI32" s="5">
        <f t="shared" si="1"/>
        <v>0.8</v>
      </c>
    </row>
    <row r="33" spans="1:35" s="4" customFormat="1" x14ac:dyDescent="0.2">
      <c r="A33" s="4" t="s">
        <v>63</v>
      </c>
      <c r="B33" s="4" t="s">
        <v>64</v>
      </c>
      <c r="C33" s="4">
        <v>11</v>
      </c>
      <c r="D33" s="4">
        <v>1</v>
      </c>
      <c r="E33" s="4">
        <v>1</v>
      </c>
      <c r="F33" s="4">
        <v>1</v>
      </c>
      <c r="G33" s="4">
        <v>1</v>
      </c>
      <c r="H33" s="4">
        <v>1</v>
      </c>
      <c r="I33" s="4">
        <v>1</v>
      </c>
      <c r="J33" s="4">
        <v>0</v>
      </c>
      <c r="K33" s="4">
        <v>1</v>
      </c>
      <c r="L33" s="4">
        <v>1</v>
      </c>
      <c r="M33" s="4">
        <v>1</v>
      </c>
      <c r="N33" s="4">
        <v>0</v>
      </c>
      <c r="O33" s="4">
        <v>1</v>
      </c>
      <c r="P33" s="4">
        <v>1</v>
      </c>
      <c r="Q33" s="4">
        <v>1</v>
      </c>
      <c r="R33" s="4">
        <v>0</v>
      </c>
      <c r="S33" s="4">
        <v>1</v>
      </c>
      <c r="T33" s="4">
        <v>1</v>
      </c>
      <c r="U33" s="4">
        <v>1</v>
      </c>
      <c r="V33" s="4">
        <v>1</v>
      </c>
      <c r="W33" s="4">
        <v>1</v>
      </c>
      <c r="X33" s="4">
        <v>1</v>
      </c>
      <c r="Y33" s="4">
        <v>1</v>
      </c>
      <c r="Z33" s="4">
        <v>1</v>
      </c>
      <c r="AA33" s="4">
        <v>1</v>
      </c>
      <c r="AB33" s="4">
        <v>1</v>
      </c>
      <c r="AC33" s="4">
        <v>1</v>
      </c>
      <c r="AD33" s="4">
        <v>1</v>
      </c>
      <c r="AE33" s="4">
        <v>1</v>
      </c>
      <c r="AF33" s="4">
        <v>1</v>
      </c>
      <c r="AG33" s="4">
        <v>1</v>
      </c>
      <c r="AI33" s="5">
        <f t="shared" si="1"/>
        <v>0.9</v>
      </c>
    </row>
    <row r="34" spans="1:35" s="4" customFormat="1" x14ac:dyDescent="0.2">
      <c r="A34" s="4" t="s">
        <v>71</v>
      </c>
      <c r="B34" s="4" t="s">
        <v>72</v>
      </c>
      <c r="C34" s="4">
        <v>9</v>
      </c>
      <c r="D34" s="4">
        <v>1</v>
      </c>
      <c r="E34" s="4">
        <v>1</v>
      </c>
      <c r="F34" s="4">
        <v>1</v>
      </c>
      <c r="G34" s="4">
        <v>1</v>
      </c>
      <c r="H34" s="4">
        <v>1</v>
      </c>
      <c r="I34" s="4">
        <v>1</v>
      </c>
      <c r="J34" s="4">
        <v>1</v>
      </c>
      <c r="K34" s="4">
        <v>1</v>
      </c>
      <c r="L34" s="4">
        <v>1</v>
      </c>
      <c r="M34" s="4">
        <v>1</v>
      </c>
      <c r="N34" s="4">
        <v>1</v>
      </c>
      <c r="O34" s="4">
        <v>0</v>
      </c>
      <c r="P34" s="4">
        <v>1</v>
      </c>
      <c r="Q34" s="4">
        <v>0</v>
      </c>
      <c r="R34" s="4">
        <v>1</v>
      </c>
      <c r="S34" s="4">
        <v>0</v>
      </c>
      <c r="T34" s="4">
        <v>1</v>
      </c>
      <c r="U34" s="4">
        <v>0</v>
      </c>
      <c r="V34" s="4">
        <v>1</v>
      </c>
      <c r="W34" s="4">
        <v>0</v>
      </c>
      <c r="X34" s="4">
        <v>1</v>
      </c>
      <c r="Y34" s="4">
        <v>0</v>
      </c>
      <c r="Z34" s="4">
        <v>1</v>
      </c>
      <c r="AA34" s="4">
        <v>1</v>
      </c>
      <c r="AB34" s="4">
        <v>1</v>
      </c>
      <c r="AC34" s="4">
        <v>1</v>
      </c>
      <c r="AD34" s="4">
        <v>1</v>
      </c>
      <c r="AE34" s="4">
        <v>1</v>
      </c>
      <c r="AF34" s="4">
        <v>1</v>
      </c>
      <c r="AG34" s="4">
        <v>1</v>
      </c>
      <c r="AI34" s="5">
        <f t="shared" si="1"/>
        <v>0.8</v>
      </c>
    </row>
    <row r="35" spans="1:35" s="4" customFormat="1" x14ac:dyDescent="0.2">
      <c r="A35" s="4" t="s">
        <v>73</v>
      </c>
      <c r="B35" s="4" t="s">
        <v>74</v>
      </c>
      <c r="C35" s="4">
        <v>12</v>
      </c>
      <c r="D35" s="4">
        <v>1</v>
      </c>
      <c r="E35" s="4">
        <v>1</v>
      </c>
      <c r="F35" s="4">
        <v>1</v>
      </c>
      <c r="G35" s="4">
        <v>1</v>
      </c>
      <c r="H35" s="4">
        <v>1</v>
      </c>
      <c r="I35" s="4">
        <v>1</v>
      </c>
      <c r="J35" s="4">
        <v>1</v>
      </c>
      <c r="K35" s="4">
        <v>1</v>
      </c>
      <c r="L35" s="4">
        <v>1</v>
      </c>
      <c r="M35" s="4">
        <v>1</v>
      </c>
      <c r="N35" s="4">
        <v>1</v>
      </c>
      <c r="O35" s="4">
        <v>1</v>
      </c>
      <c r="P35" s="4">
        <v>1</v>
      </c>
      <c r="Q35" s="4">
        <v>0</v>
      </c>
      <c r="R35" s="4">
        <v>1</v>
      </c>
      <c r="S35" s="4">
        <v>0</v>
      </c>
      <c r="T35" s="4">
        <v>1</v>
      </c>
      <c r="U35" s="4">
        <v>1</v>
      </c>
      <c r="V35" s="4">
        <v>0</v>
      </c>
      <c r="W35" s="4">
        <v>1</v>
      </c>
      <c r="X35" s="4">
        <v>0</v>
      </c>
      <c r="Y35" s="4">
        <v>1</v>
      </c>
      <c r="Z35" s="4">
        <v>0</v>
      </c>
      <c r="AA35" s="4">
        <v>1</v>
      </c>
      <c r="AB35" s="4">
        <v>0</v>
      </c>
      <c r="AC35" s="4">
        <v>1</v>
      </c>
      <c r="AD35" s="4">
        <v>1</v>
      </c>
      <c r="AE35" s="4">
        <v>1</v>
      </c>
      <c r="AF35" s="4">
        <v>1</v>
      </c>
      <c r="AG35" s="4">
        <v>1</v>
      </c>
      <c r="AI35" s="5">
        <f t="shared" si="1"/>
        <v>0.8</v>
      </c>
    </row>
    <row r="36" spans="1:35" s="4" customFormat="1" x14ac:dyDescent="0.2">
      <c r="A36" s="4" t="s">
        <v>75</v>
      </c>
      <c r="B36" s="4" t="s">
        <v>76</v>
      </c>
      <c r="C36" s="4">
        <v>11</v>
      </c>
      <c r="D36" s="4">
        <v>1</v>
      </c>
      <c r="E36" s="4">
        <v>1</v>
      </c>
      <c r="F36" s="4">
        <v>1</v>
      </c>
      <c r="G36" s="4">
        <v>1</v>
      </c>
      <c r="H36" s="4">
        <v>1</v>
      </c>
      <c r="I36" s="4">
        <v>1</v>
      </c>
      <c r="J36" s="4">
        <v>1</v>
      </c>
      <c r="K36" s="4">
        <v>1</v>
      </c>
      <c r="L36" s="4">
        <v>1</v>
      </c>
      <c r="M36" s="4">
        <v>1</v>
      </c>
      <c r="N36" s="4">
        <v>1</v>
      </c>
      <c r="O36" s="4">
        <v>1</v>
      </c>
      <c r="P36" s="4">
        <v>1</v>
      </c>
      <c r="Q36" s="4">
        <v>1</v>
      </c>
      <c r="R36" s="4">
        <v>1</v>
      </c>
      <c r="S36" s="4">
        <v>1</v>
      </c>
      <c r="T36" s="4">
        <v>1</v>
      </c>
      <c r="U36" s="4">
        <v>1</v>
      </c>
      <c r="V36" s="4">
        <v>1</v>
      </c>
      <c r="W36" s="4">
        <v>1</v>
      </c>
      <c r="X36" s="4">
        <v>1</v>
      </c>
      <c r="Y36" s="4">
        <v>1</v>
      </c>
      <c r="Z36" s="4">
        <v>1</v>
      </c>
      <c r="AA36" s="4">
        <v>1</v>
      </c>
      <c r="AB36" s="4">
        <v>1</v>
      </c>
      <c r="AC36" s="4">
        <v>1</v>
      </c>
      <c r="AD36" s="4">
        <v>1</v>
      </c>
      <c r="AE36" s="4">
        <v>1</v>
      </c>
      <c r="AF36" s="4">
        <v>1</v>
      </c>
      <c r="AG36" s="4">
        <v>1</v>
      </c>
      <c r="AI36" s="5">
        <f t="shared" si="1"/>
        <v>1</v>
      </c>
    </row>
    <row r="38" spans="1:35" x14ac:dyDescent="0.2">
      <c r="B38" t="s">
        <v>78</v>
      </c>
      <c r="C38" s="3">
        <f>AVERAGE(C26:C36)</f>
        <v>10.181818181818182</v>
      </c>
      <c r="AH38" t="s">
        <v>79</v>
      </c>
      <c r="AI38" s="1">
        <f>AVERAGE(AI26:AI36)</f>
        <v>0.87272727272727291</v>
      </c>
    </row>
    <row r="40" spans="1:35" x14ac:dyDescent="0.2">
      <c r="A40" t="s">
        <v>81</v>
      </c>
    </row>
    <row r="41" spans="1:35" s="4" customFormat="1" x14ac:dyDescent="0.2">
      <c r="A41" s="4" t="s">
        <v>73</v>
      </c>
      <c r="B41" s="4" t="s">
        <v>74</v>
      </c>
      <c r="C41" s="4">
        <v>12</v>
      </c>
      <c r="D41" s="4">
        <v>1</v>
      </c>
      <c r="E41" s="4">
        <v>1</v>
      </c>
      <c r="F41" s="4">
        <v>1</v>
      </c>
      <c r="G41" s="4">
        <v>1</v>
      </c>
      <c r="H41" s="4">
        <v>1</v>
      </c>
      <c r="I41" s="4">
        <v>1</v>
      </c>
      <c r="J41" s="4">
        <v>1</v>
      </c>
      <c r="K41" s="4">
        <v>1</v>
      </c>
      <c r="L41" s="4">
        <v>1</v>
      </c>
      <c r="M41" s="4">
        <v>1</v>
      </c>
      <c r="N41" s="4">
        <v>1</v>
      </c>
      <c r="O41" s="4">
        <v>1</v>
      </c>
      <c r="P41" s="4">
        <v>1</v>
      </c>
      <c r="Q41" s="4">
        <v>0</v>
      </c>
      <c r="R41" s="4">
        <v>1</v>
      </c>
      <c r="S41" s="4">
        <v>0</v>
      </c>
      <c r="T41" s="4">
        <v>1</v>
      </c>
      <c r="U41" s="4">
        <v>1</v>
      </c>
      <c r="V41" s="4">
        <v>0</v>
      </c>
      <c r="W41" s="4">
        <v>1</v>
      </c>
      <c r="X41" s="4">
        <v>0</v>
      </c>
      <c r="Y41" s="4">
        <v>1</v>
      </c>
      <c r="Z41" s="4">
        <v>0</v>
      </c>
      <c r="AA41" s="4">
        <v>1</v>
      </c>
      <c r="AB41" s="4">
        <v>0</v>
      </c>
      <c r="AC41" s="4">
        <v>1</v>
      </c>
      <c r="AD41" s="4">
        <v>1</v>
      </c>
      <c r="AE41" s="4">
        <v>1</v>
      </c>
      <c r="AF41" s="4">
        <v>1</v>
      </c>
      <c r="AG41" s="4">
        <v>1</v>
      </c>
      <c r="AI41" s="5">
        <f t="shared" ref="AI41" si="2">AVERAGE(D41:AG41)</f>
        <v>0.8</v>
      </c>
    </row>
    <row r="43" spans="1:35" x14ac:dyDescent="0.2">
      <c r="A43" t="s">
        <v>82</v>
      </c>
      <c r="AH43" s="6" t="s">
        <v>79</v>
      </c>
      <c r="AI43" s="1">
        <v>0.8</v>
      </c>
    </row>
    <row r="44" spans="1:35" s="4" customFormat="1" x14ac:dyDescent="0.2">
      <c r="A44" s="4" t="s">
        <v>63</v>
      </c>
      <c r="B44" s="4" t="s">
        <v>64</v>
      </c>
      <c r="C44" s="4">
        <v>11</v>
      </c>
      <c r="D44" s="4">
        <v>1</v>
      </c>
      <c r="E44" s="4">
        <v>1</v>
      </c>
      <c r="F44" s="4">
        <v>1</v>
      </c>
      <c r="G44" s="4">
        <v>1</v>
      </c>
      <c r="H44" s="4">
        <v>1</v>
      </c>
      <c r="I44" s="4">
        <v>1</v>
      </c>
      <c r="J44" s="4">
        <v>0</v>
      </c>
      <c r="K44" s="4">
        <v>1</v>
      </c>
      <c r="L44" s="4">
        <v>1</v>
      </c>
      <c r="M44" s="4">
        <v>1</v>
      </c>
      <c r="N44" s="4">
        <v>0</v>
      </c>
      <c r="O44" s="4">
        <v>1</v>
      </c>
      <c r="P44" s="4">
        <v>1</v>
      </c>
      <c r="Q44" s="4">
        <v>1</v>
      </c>
      <c r="R44" s="4">
        <v>0</v>
      </c>
      <c r="S44" s="4">
        <v>1</v>
      </c>
      <c r="T44" s="4">
        <v>1</v>
      </c>
      <c r="U44" s="4">
        <v>1</v>
      </c>
      <c r="V44" s="4">
        <v>1</v>
      </c>
      <c r="W44" s="4">
        <v>1</v>
      </c>
      <c r="X44" s="4">
        <v>1</v>
      </c>
      <c r="Y44" s="4">
        <v>1</v>
      </c>
      <c r="Z44" s="4">
        <v>1</v>
      </c>
      <c r="AA44" s="4">
        <v>1</v>
      </c>
      <c r="AB44" s="4">
        <v>1</v>
      </c>
      <c r="AC44" s="4">
        <v>1</v>
      </c>
      <c r="AD44" s="4">
        <v>1</v>
      </c>
      <c r="AE44" s="4">
        <v>1</v>
      </c>
      <c r="AF44" s="4">
        <v>1</v>
      </c>
      <c r="AG44" s="4">
        <v>1</v>
      </c>
      <c r="AI44" s="5">
        <f t="shared" ref="AI44:AI46" si="3">AVERAGE(D44:AG44)</f>
        <v>0.9</v>
      </c>
    </row>
    <row r="45" spans="1:35" s="4" customFormat="1" x14ac:dyDescent="0.2">
      <c r="A45" s="4" t="s">
        <v>75</v>
      </c>
      <c r="B45" s="4" t="s">
        <v>76</v>
      </c>
      <c r="C45" s="4">
        <v>11</v>
      </c>
      <c r="D45" s="4">
        <v>1</v>
      </c>
      <c r="E45" s="4">
        <v>1</v>
      </c>
      <c r="F45" s="4">
        <v>1</v>
      </c>
      <c r="G45" s="4">
        <v>1</v>
      </c>
      <c r="H45" s="4">
        <v>1</v>
      </c>
      <c r="I45" s="4">
        <v>1</v>
      </c>
      <c r="J45" s="4">
        <v>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>
        <v>1</v>
      </c>
      <c r="AE45" s="4">
        <v>1</v>
      </c>
      <c r="AF45" s="4">
        <v>1</v>
      </c>
      <c r="AG45" s="4">
        <v>1</v>
      </c>
      <c r="AI45" s="5">
        <f t="shared" si="3"/>
        <v>1</v>
      </c>
    </row>
    <row r="46" spans="1:35" s="4" customFormat="1" x14ac:dyDescent="0.2">
      <c r="A46" s="4" t="s">
        <v>41</v>
      </c>
      <c r="B46" s="4" t="s">
        <v>42</v>
      </c>
      <c r="C46" s="4">
        <v>11</v>
      </c>
      <c r="D46" s="4">
        <v>1</v>
      </c>
      <c r="E46" s="4">
        <v>1</v>
      </c>
      <c r="F46" s="4">
        <v>1</v>
      </c>
      <c r="G46" s="4">
        <v>1</v>
      </c>
      <c r="H46" s="4">
        <v>1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0</v>
      </c>
      <c r="P46" s="4">
        <v>1</v>
      </c>
      <c r="Q46" s="4">
        <v>1</v>
      </c>
      <c r="R46" s="4">
        <v>0</v>
      </c>
      <c r="S46" s="4">
        <v>1</v>
      </c>
      <c r="T46" s="4">
        <v>1</v>
      </c>
      <c r="U46" s="4">
        <v>1</v>
      </c>
      <c r="V46" s="4">
        <v>1</v>
      </c>
      <c r="W46" s="4">
        <v>0</v>
      </c>
      <c r="X46" s="4">
        <v>1</v>
      </c>
      <c r="Y46" s="4">
        <v>1</v>
      </c>
      <c r="Z46" s="4">
        <v>1</v>
      </c>
      <c r="AA46" s="4">
        <v>1</v>
      </c>
      <c r="AB46" s="4">
        <v>0</v>
      </c>
      <c r="AC46" s="4">
        <v>1</v>
      </c>
      <c r="AD46" s="4">
        <v>1</v>
      </c>
      <c r="AE46" s="4">
        <v>1</v>
      </c>
      <c r="AF46" s="4">
        <v>0</v>
      </c>
      <c r="AG46" s="4">
        <v>1</v>
      </c>
      <c r="AI46" s="5">
        <f t="shared" si="3"/>
        <v>0.83333333333333337</v>
      </c>
    </row>
    <row r="48" spans="1:35" x14ac:dyDescent="0.2">
      <c r="A48" t="s">
        <v>83</v>
      </c>
      <c r="AH48" s="6" t="s">
        <v>79</v>
      </c>
      <c r="AI48" s="1">
        <f>AVERAGE(AI41:AI46)</f>
        <v>0.86666666666666659</v>
      </c>
    </row>
    <row r="49" spans="1:35" s="4" customFormat="1" x14ac:dyDescent="0.2">
      <c r="A49" s="4" t="s">
        <v>43</v>
      </c>
      <c r="B49" s="4" t="s">
        <v>44</v>
      </c>
      <c r="C49" s="4">
        <v>10</v>
      </c>
      <c r="D49" s="4">
        <v>1</v>
      </c>
      <c r="E49" s="4">
        <v>1</v>
      </c>
      <c r="F49" s="4">
        <v>1</v>
      </c>
      <c r="G49" s="4">
        <v>1</v>
      </c>
      <c r="H49" s="4">
        <v>1</v>
      </c>
      <c r="I49" s="4">
        <v>1</v>
      </c>
      <c r="J49" s="4">
        <v>1</v>
      </c>
      <c r="K49" s="4">
        <v>1</v>
      </c>
      <c r="L49" s="4">
        <v>1</v>
      </c>
      <c r="M49" s="4">
        <v>1</v>
      </c>
      <c r="N49" s="4">
        <v>1</v>
      </c>
      <c r="O49" s="4">
        <v>1</v>
      </c>
      <c r="P49" s="4">
        <v>1</v>
      </c>
      <c r="Q49" s="4">
        <v>1</v>
      </c>
      <c r="R49" s="4">
        <v>1</v>
      </c>
      <c r="S49" s="4">
        <v>1</v>
      </c>
      <c r="T49" s="4">
        <v>0</v>
      </c>
      <c r="U49" s="4">
        <v>1</v>
      </c>
      <c r="V49" s="4">
        <v>1</v>
      </c>
      <c r="W49" s="4">
        <v>1</v>
      </c>
      <c r="X49" s="4">
        <v>1</v>
      </c>
      <c r="Y49" s="4">
        <v>1</v>
      </c>
      <c r="Z49" s="4">
        <v>0</v>
      </c>
      <c r="AA49" s="4">
        <v>1</v>
      </c>
      <c r="AB49" s="4">
        <v>1</v>
      </c>
      <c r="AC49" s="4">
        <v>1</v>
      </c>
      <c r="AD49" s="4">
        <v>1</v>
      </c>
      <c r="AE49" s="4">
        <v>0</v>
      </c>
      <c r="AF49" s="4">
        <v>1</v>
      </c>
      <c r="AG49" s="4">
        <v>1</v>
      </c>
      <c r="AI49" s="5">
        <f t="shared" ref="AI49:AI52" si="4">AVERAGE(D49:AG49)</f>
        <v>0.9</v>
      </c>
    </row>
    <row r="50" spans="1:35" s="4" customFormat="1" x14ac:dyDescent="0.2">
      <c r="A50" s="4" t="s">
        <v>47</v>
      </c>
      <c r="B50" s="4" t="s">
        <v>48</v>
      </c>
      <c r="C50" s="4">
        <v>10</v>
      </c>
      <c r="D50" s="4">
        <v>1</v>
      </c>
      <c r="E50" s="4">
        <v>1</v>
      </c>
      <c r="F50" s="4">
        <v>1</v>
      </c>
      <c r="G50" s="4">
        <v>1</v>
      </c>
      <c r="H50" s="4">
        <v>1</v>
      </c>
      <c r="I50" s="4">
        <v>1</v>
      </c>
      <c r="J50" s="4">
        <v>1</v>
      </c>
      <c r="K50" s="4">
        <v>1</v>
      </c>
      <c r="L50" s="4">
        <v>1</v>
      </c>
      <c r="M50" s="4">
        <v>1</v>
      </c>
      <c r="N50" s="4">
        <v>1</v>
      </c>
      <c r="O50" s="4">
        <v>0</v>
      </c>
      <c r="P50" s="4">
        <v>1</v>
      </c>
      <c r="Q50" s="4">
        <v>0</v>
      </c>
      <c r="R50" s="4">
        <v>1</v>
      </c>
      <c r="S50" s="4">
        <v>0</v>
      </c>
      <c r="T50" s="4">
        <v>1</v>
      </c>
      <c r="U50" s="4">
        <v>0</v>
      </c>
      <c r="V50" s="4">
        <v>1</v>
      </c>
      <c r="W50" s="4">
        <v>1</v>
      </c>
      <c r="X50" s="4">
        <v>1</v>
      </c>
      <c r="Y50" s="4">
        <v>1</v>
      </c>
      <c r="Z50" s="4">
        <v>0</v>
      </c>
      <c r="AA50" s="4">
        <v>1</v>
      </c>
      <c r="AB50" s="4">
        <v>1</v>
      </c>
      <c r="AC50" s="4">
        <v>1</v>
      </c>
      <c r="AD50" s="4">
        <v>1</v>
      </c>
      <c r="AE50" s="4">
        <v>1</v>
      </c>
      <c r="AF50" s="4">
        <v>1</v>
      </c>
      <c r="AG50" s="4">
        <v>1</v>
      </c>
      <c r="AI50" s="5">
        <f t="shared" si="4"/>
        <v>0.83333333333333337</v>
      </c>
    </row>
    <row r="51" spans="1:35" s="4" customFormat="1" x14ac:dyDescent="0.2">
      <c r="A51" s="4" t="s">
        <v>57</v>
      </c>
      <c r="B51" s="4" t="s">
        <v>58</v>
      </c>
      <c r="C51" s="4">
        <v>10</v>
      </c>
      <c r="D51" s="4">
        <v>1</v>
      </c>
      <c r="E51" s="4">
        <v>1</v>
      </c>
      <c r="F51" s="4">
        <v>1</v>
      </c>
      <c r="G51" s="4">
        <v>1</v>
      </c>
      <c r="H51" s="4">
        <v>1</v>
      </c>
      <c r="I51" s="4">
        <v>0</v>
      </c>
      <c r="J51" s="4">
        <v>0</v>
      </c>
      <c r="K51" s="4">
        <v>1</v>
      </c>
      <c r="L51" s="4">
        <v>1</v>
      </c>
      <c r="M51" s="4">
        <v>1</v>
      </c>
      <c r="N51" s="4">
        <v>0</v>
      </c>
      <c r="O51" s="4">
        <v>1</v>
      </c>
      <c r="P51" s="4">
        <v>1</v>
      </c>
      <c r="Q51" s="4">
        <v>1</v>
      </c>
      <c r="R51" s="4">
        <v>1</v>
      </c>
      <c r="S51" s="4">
        <v>1</v>
      </c>
      <c r="T51" s="4">
        <v>1</v>
      </c>
      <c r="U51" s="4">
        <v>1</v>
      </c>
      <c r="V51" s="4">
        <v>1</v>
      </c>
      <c r="W51" s="4">
        <v>1</v>
      </c>
      <c r="X51" s="4">
        <v>1</v>
      </c>
      <c r="Y51" s="4">
        <v>1</v>
      </c>
      <c r="Z51" s="4">
        <v>1</v>
      </c>
      <c r="AA51" s="4">
        <v>1</v>
      </c>
      <c r="AB51" s="4">
        <v>1</v>
      </c>
      <c r="AC51" s="4">
        <v>1</v>
      </c>
      <c r="AD51" s="4">
        <v>1</v>
      </c>
      <c r="AE51" s="4">
        <v>1</v>
      </c>
      <c r="AF51" s="4">
        <v>1</v>
      </c>
      <c r="AG51" s="4">
        <v>1</v>
      </c>
      <c r="AI51" s="5">
        <f t="shared" si="4"/>
        <v>0.9</v>
      </c>
    </row>
    <row r="52" spans="1:35" s="4" customFormat="1" x14ac:dyDescent="0.2">
      <c r="A52" s="4" t="s">
        <v>61</v>
      </c>
      <c r="B52" s="4" t="s">
        <v>62</v>
      </c>
      <c r="C52" s="4">
        <v>10</v>
      </c>
      <c r="D52" s="4">
        <v>1</v>
      </c>
      <c r="E52" s="4">
        <v>1</v>
      </c>
      <c r="F52" s="4">
        <v>1</v>
      </c>
      <c r="G52" s="4">
        <v>1</v>
      </c>
      <c r="H52" s="4">
        <v>1</v>
      </c>
      <c r="I52" s="4">
        <v>1</v>
      </c>
      <c r="J52" s="4">
        <v>1</v>
      </c>
      <c r="K52" s="4">
        <v>1</v>
      </c>
      <c r="L52" s="4">
        <v>1</v>
      </c>
      <c r="M52" s="4">
        <v>0</v>
      </c>
      <c r="N52" s="4">
        <v>0</v>
      </c>
      <c r="O52" s="4">
        <v>1</v>
      </c>
      <c r="P52" s="4">
        <v>1</v>
      </c>
      <c r="Q52" s="4">
        <v>1</v>
      </c>
      <c r="R52" s="4">
        <v>0</v>
      </c>
      <c r="S52" s="4">
        <v>1</v>
      </c>
      <c r="T52" s="4">
        <v>1</v>
      </c>
      <c r="U52" s="4">
        <v>0</v>
      </c>
      <c r="V52" s="4">
        <v>1</v>
      </c>
      <c r="W52" s="4">
        <v>1</v>
      </c>
      <c r="X52" s="4">
        <v>1</v>
      </c>
      <c r="Y52" s="4">
        <v>0</v>
      </c>
      <c r="Z52" s="4">
        <v>1</v>
      </c>
      <c r="AA52" s="4">
        <v>1</v>
      </c>
      <c r="AB52" s="4">
        <v>1</v>
      </c>
      <c r="AC52" s="4">
        <v>0</v>
      </c>
      <c r="AD52" s="4">
        <v>1</v>
      </c>
      <c r="AE52" s="4">
        <v>1</v>
      </c>
      <c r="AF52" s="4">
        <v>1</v>
      </c>
      <c r="AG52" s="4">
        <v>1</v>
      </c>
      <c r="AI52" s="5">
        <f t="shared" si="4"/>
        <v>0.8</v>
      </c>
    </row>
    <row r="54" spans="1:35" x14ac:dyDescent="0.2">
      <c r="A54" t="s">
        <v>84</v>
      </c>
      <c r="AH54" s="6" t="s">
        <v>79</v>
      </c>
      <c r="AI54" s="1">
        <f>AVERAGE(AI49:AI52)</f>
        <v>0.85833333333333339</v>
      </c>
    </row>
    <row r="55" spans="1:35" s="4" customFormat="1" x14ac:dyDescent="0.2">
      <c r="A55" s="4" t="s">
        <v>45</v>
      </c>
      <c r="B55" s="4" t="s">
        <v>46</v>
      </c>
      <c r="C55" s="4">
        <v>9</v>
      </c>
      <c r="D55" s="4">
        <v>1</v>
      </c>
      <c r="E55" s="4">
        <v>1</v>
      </c>
      <c r="F55" s="4">
        <v>1</v>
      </c>
      <c r="G55" s="4">
        <v>1</v>
      </c>
      <c r="H55" s="4">
        <v>1</v>
      </c>
      <c r="I55" s="4">
        <v>1</v>
      </c>
      <c r="J55" s="4">
        <v>1</v>
      </c>
      <c r="K55" s="4">
        <v>1</v>
      </c>
      <c r="L55" s="4">
        <v>1</v>
      </c>
      <c r="M55" s="4">
        <v>1</v>
      </c>
      <c r="N55" s="4">
        <v>1</v>
      </c>
      <c r="O55" s="4">
        <v>1</v>
      </c>
      <c r="P55" s="4">
        <v>1</v>
      </c>
      <c r="Q55" s="4">
        <v>0</v>
      </c>
      <c r="R55" s="4">
        <v>0</v>
      </c>
      <c r="S55" s="4">
        <v>0</v>
      </c>
      <c r="T55" s="4">
        <v>1</v>
      </c>
      <c r="U55" s="4">
        <v>1</v>
      </c>
      <c r="V55" s="4">
        <v>1</v>
      </c>
      <c r="W55" s="4">
        <v>0</v>
      </c>
      <c r="X55" s="4">
        <v>1</v>
      </c>
      <c r="Y55" s="4">
        <v>1</v>
      </c>
      <c r="Z55" s="4">
        <v>1</v>
      </c>
      <c r="AA55" s="4">
        <v>1</v>
      </c>
      <c r="AB55" s="4">
        <v>1</v>
      </c>
      <c r="AC55" s="4">
        <v>1</v>
      </c>
      <c r="AD55" s="4">
        <v>0</v>
      </c>
      <c r="AE55" s="4">
        <v>1</v>
      </c>
      <c r="AF55" s="4">
        <v>1</v>
      </c>
      <c r="AG55" s="4">
        <v>1</v>
      </c>
      <c r="AI55" s="5">
        <f t="shared" ref="AI55:AI57" si="5">AVERAGE(D55:AG55)</f>
        <v>0.83333333333333337</v>
      </c>
    </row>
    <row r="56" spans="1:35" s="4" customFormat="1" x14ac:dyDescent="0.2">
      <c r="A56" s="4" t="s">
        <v>55</v>
      </c>
      <c r="B56" s="4" t="s">
        <v>56</v>
      </c>
      <c r="C56" s="4">
        <v>9</v>
      </c>
      <c r="D56" s="4">
        <v>1</v>
      </c>
      <c r="E56" s="4">
        <v>1</v>
      </c>
      <c r="F56" s="4">
        <v>1</v>
      </c>
      <c r="G56" s="4">
        <v>1</v>
      </c>
      <c r="H56" s="4">
        <v>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1</v>
      </c>
      <c r="Q56" s="4">
        <v>1</v>
      </c>
      <c r="R56" s="4">
        <v>1</v>
      </c>
      <c r="S56" s="4">
        <v>1</v>
      </c>
      <c r="T56" s="4">
        <v>1</v>
      </c>
      <c r="U56" s="4">
        <v>1</v>
      </c>
      <c r="V56" s="4">
        <v>1</v>
      </c>
      <c r="W56" s="4">
        <v>1</v>
      </c>
      <c r="X56" s="4">
        <v>1</v>
      </c>
      <c r="Y56" s="4">
        <v>1</v>
      </c>
      <c r="Z56" s="4">
        <v>1</v>
      </c>
      <c r="AA56" s="4">
        <v>1</v>
      </c>
      <c r="AB56" s="4">
        <v>1</v>
      </c>
      <c r="AC56" s="4">
        <v>1</v>
      </c>
      <c r="AD56" s="4">
        <v>1</v>
      </c>
      <c r="AE56" s="4">
        <v>1</v>
      </c>
      <c r="AF56" s="4">
        <v>1</v>
      </c>
      <c r="AG56" s="4">
        <v>1</v>
      </c>
      <c r="AI56" s="5">
        <f t="shared" si="5"/>
        <v>1</v>
      </c>
    </row>
    <row r="57" spans="1:35" s="4" customFormat="1" x14ac:dyDescent="0.2">
      <c r="A57" s="4" t="s">
        <v>71</v>
      </c>
      <c r="B57" s="4" t="s">
        <v>72</v>
      </c>
      <c r="C57" s="4">
        <v>9</v>
      </c>
      <c r="D57" s="4">
        <v>1</v>
      </c>
      <c r="E57" s="4">
        <v>1</v>
      </c>
      <c r="F57" s="4">
        <v>1</v>
      </c>
      <c r="G57" s="4">
        <v>1</v>
      </c>
      <c r="H57" s="4">
        <v>1</v>
      </c>
      <c r="I57" s="4">
        <v>1</v>
      </c>
      <c r="J57" s="4">
        <v>1</v>
      </c>
      <c r="K57" s="4">
        <v>1</v>
      </c>
      <c r="L57" s="4">
        <v>1</v>
      </c>
      <c r="M57" s="4">
        <v>1</v>
      </c>
      <c r="N57" s="4">
        <v>1</v>
      </c>
      <c r="O57" s="4">
        <v>0</v>
      </c>
      <c r="P57" s="4">
        <v>1</v>
      </c>
      <c r="Q57" s="4">
        <v>0</v>
      </c>
      <c r="R57" s="4">
        <v>1</v>
      </c>
      <c r="S57" s="4">
        <v>0</v>
      </c>
      <c r="T57" s="4">
        <v>1</v>
      </c>
      <c r="U57" s="4">
        <v>0</v>
      </c>
      <c r="V57" s="4">
        <v>1</v>
      </c>
      <c r="W57" s="4">
        <v>0</v>
      </c>
      <c r="X57" s="4">
        <v>1</v>
      </c>
      <c r="Y57" s="4">
        <v>0</v>
      </c>
      <c r="Z57" s="4">
        <v>1</v>
      </c>
      <c r="AA57" s="4">
        <v>1</v>
      </c>
      <c r="AB57" s="4">
        <v>1</v>
      </c>
      <c r="AC57" s="4">
        <v>1</v>
      </c>
      <c r="AD57" s="4">
        <v>1</v>
      </c>
      <c r="AE57" s="4">
        <v>1</v>
      </c>
      <c r="AF57" s="4">
        <v>1</v>
      </c>
      <c r="AG57" s="4">
        <v>1</v>
      </c>
      <c r="AI57" s="5">
        <f t="shared" si="5"/>
        <v>0.8</v>
      </c>
    </row>
    <row r="59" spans="1:35" x14ac:dyDescent="0.2">
      <c r="AH59" s="6" t="s">
        <v>79</v>
      </c>
      <c r="AI59" s="1">
        <f>AVERAGE(AI55:AI57)</f>
        <v>0.87777777777777788</v>
      </c>
    </row>
    <row r="60" spans="1:35" x14ac:dyDescent="0.2">
      <c r="A60" s="9" t="s">
        <v>85</v>
      </c>
    </row>
    <row r="61" spans="1:35" x14ac:dyDescent="0.2">
      <c r="A61" t="s">
        <v>86</v>
      </c>
    </row>
    <row r="62" spans="1:35" ht="31" x14ac:dyDescent="0.35">
      <c r="A62" t="s">
        <v>81</v>
      </c>
      <c r="B62" s="2">
        <v>1</v>
      </c>
      <c r="X62" s="7" t="s">
        <v>97</v>
      </c>
    </row>
    <row r="63" spans="1:35" ht="31" x14ac:dyDescent="0.35">
      <c r="A63" t="s">
        <v>82</v>
      </c>
      <c r="B63" s="2">
        <v>3</v>
      </c>
      <c r="X63" s="8" t="s">
        <v>96</v>
      </c>
    </row>
    <row r="64" spans="1:35" ht="31" x14ac:dyDescent="0.35">
      <c r="A64" t="s">
        <v>83</v>
      </c>
      <c r="B64" s="2">
        <v>4</v>
      </c>
      <c r="X64" s="8" t="s">
        <v>98</v>
      </c>
    </row>
    <row r="65" spans="1:24" ht="31" x14ac:dyDescent="0.35">
      <c r="A65" t="s">
        <v>84</v>
      </c>
      <c r="B65" s="2">
        <v>3</v>
      </c>
      <c r="X65" s="8" t="s">
        <v>101</v>
      </c>
    </row>
    <row r="66" spans="1:24" ht="31" x14ac:dyDescent="0.35">
      <c r="A66" t="s">
        <v>87</v>
      </c>
      <c r="B66" s="2">
        <f>SUM(B62:B65)</f>
        <v>11</v>
      </c>
      <c r="X66" s="8" t="s">
        <v>99</v>
      </c>
    </row>
    <row r="67" spans="1:24" ht="31" x14ac:dyDescent="0.35">
      <c r="B67" s="2"/>
      <c r="X67" s="8" t="s">
        <v>100</v>
      </c>
    </row>
    <row r="68" spans="1:24" x14ac:dyDescent="0.2">
      <c r="A68" t="s">
        <v>88</v>
      </c>
      <c r="B68" s="2"/>
    </row>
    <row r="69" spans="1:24" x14ac:dyDescent="0.2">
      <c r="A69" t="s">
        <v>89</v>
      </c>
      <c r="B69" s="1">
        <f>SUM(B62/B66)</f>
        <v>9.0909090909090912E-2</v>
      </c>
    </row>
    <row r="70" spans="1:24" x14ac:dyDescent="0.2">
      <c r="A70" t="s">
        <v>90</v>
      </c>
      <c r="B70" s="1">
        <f>SUM(B63/B66)</f>
        <v>0.27272727272727271</v>
      </c>
    </row>
    <row r="71" spans="1:24" x14ac:dyDescent="0.2">
      <c r="A71" t="s">
        <v>91</v>
      </c>
      <c r="B71" s="1">
        <f>SUM(B64/B66)</f>
        <v>0.36363636363636365</v>
      </c>
    </row>
    <row r="72" spans="1:24" x14ac:dyDescent="0.2">
      <c r="A72" t="s">
        <v>92</v>
      </c>
      <c r="B72" s="1">
        <f>SUM(B65/B66)</f>
        <v>0.27272727272727271</v>
      </c>
    </row>
    <row r="73" spans="1:24" x14ac:dyDescent="0.2">
      <c r="A73" t="s">
        <v>93</v>
      </c>
      <c r="B73" s="1">
        <v>1</v>
      </c>
    </row>
    <row r="74" spans="1:24" x14ac:dyDescent="0.2">
      <c r="A74" t="s">
        <v>94</v>
      </c>
    </row>
    <row r="75" spans="1:24" x14ac:dyDescent="0.2">
      <c r="A75" s="6" t="s">
        <v>95</v>
      </c>
    </row>
    <row r="76" spans="1:24" x14ac:dyDescent="0.2">
      <c r="A76" s="1">
        <f>(B66/B23)</f>
        <v>0.55000000000000004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Josh Lewis</cp:lastModifiedBy>
  <cp:revision/>
  <dcterms:created xsi:type="dcterms:W3CDTF">2023-07-10T18:56:24Z</dcterms:created>
  <dcterms:modified xsi:type="dcterms:W3CDTF">2023-07-10T21:54:31Z</dcterms:modified>
  <cp:category/>
  <cp:contentStatus/>
</cp:coreProperties>
</file>